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redbull-my.sharepoint.com/personal/luiz_faria_redbullbragantino_com/Documents/Documents/2026/3. Relatórios &amp; Estudos/00.Relatórios Power BI/01.Previsão para os próximos jogos/"/>
    </mc:Choice>
  </mc:AlternateContent>
  <xr:revisionPtr revIDLastSave="382" documentId="11_AD4DB114E441178AC67DF457E654F612683EDF1C" xr6:coauthVersionLast="47" xr6:coauthVersionMax="47" xr10:uidLastSave="{A35390B4-150E-4BD7-92D9-BDC8A5E5600B}"/>
  <bookViews>
    <workbookView xWindow="-38535" yWindow="-1695" windowWidth="38670" windowHeight="21150" activeTab="2" xr2:uid="{00000000-000D-0000-FFFF-FFFF00000000}"/>
  </bookViews>
  <sheets>
    <sheet name="Projeção" sheetId="1" r:id="rId1"/>
    <sheet name="ID" sheetId="2" r:id="rId2"/>
    <sheet name="Sóc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<sst xmlns="http://schemas.openxmlformats.org/spreadsheetml/2006/main" count="65" uniqueCount="22">
  <si>
    <t>ID</t>
  </si>
  <si>
    <t>Adversário</t>
  </si>
  <si>
    <t>Quantidade</t>
  </si>
  <si>
    <t>Chapecoense</t>
  </si>
  <si>
    <t>Santos</t>
  </si>
  <si>
    <t>Vasco</t>
  </si>
  <si>
    <t>Fluminense</t>
  </si>
  <si>
    <t>Tipo</t>
  </si>
  <si>
    <t>Relacionamento</t>
  </si>
  <si>
    <t>Sócio</t>
  </si>
  <si>
    <t>Visitante</t>
  </si>
  <si>
    <t>Ingressos</t>
  </si>
  <si>
    <t>Asas Bronze</t>
  </si>
  <si>
    <t>Asas Diamante</t>
  </si>
  <si>
    <t>Asas Ouro</t>
  </si>
  <si>
    <t>Asas Platina</t>
  </si>
  <si>
    <t>Asas Prata</t>
  </si>
  <si>
    <t>Cross Conection Asas Prata</t>
  </si>
  <si>
    <t>Próxima Geração</t>
  </si>
  <si>
    <t>VIP</t>
  </si>
  <si>
    <t>Plano</t>
  </si>
  <si>
    <t>Funcionários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</si>
</sst>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D10" sqref="D10:D13"/>
    </sheetView>
  </sheetViews>
  <sheetFormatPr defaultRowHeight="14.4" x14ac:dyDescent="0.3"/>
  <cols>
    <col min="1" max="1" width="11.77734375" customWidth="1"/>
    <col min="2" max="2" width="17.6640625" customWidth="1"/>
    <col min="3" max="3" width="21.6640625" customWidth="1"/>
    <col min="4" max="4" width="13.21875" customWidth="1"/>
    <col min="9" max="9" width="30.44140625" bestFit="1" customWidth="1"/>
    <col min="10" max="10" width="9.33203125" customWidth="1"/>
    <col min="11" max="11" width="15.109375" bestFit="1" customWidth="1"/>
    <col min="12" max="12" width="16.109375" customWidth="1"/>
    <col min="13" max="13" width="19.109375" bestFit="1" customWidth="1"/>
    <col min="14" max="14" width="16.77734375" bestFit="1" customWidth="1"/>
    <col min="15" max="15" width="15.109375" bestFit="1" customWidth="1"/>
    <col min="16" max="18" width="12" bestFit="1" customWidth="1"/>
  </cols>
  <sheetData>
    <row r="1" spans="1:4" x14ac:dyDescent="0.3">
      <c r="A1" s="1" t="s">
        <v>0</v>
      </c>
      <c r="B1" s="1" t="s">
        <v>1</v>
      </c>
      <c r="C1" s="1" t="s">
        <v>7</v>
      </c>
      <c r="D1" s="1" t="s">
        <v>2</v>
      </c>
    </row>
    <row r="2" spans="1:4" x14ac:dyDescent="0.3">
      <c r="A2" s="1">
        <v>1</v>
      </c>
      <c r="B2" s="1" t="str">
        <f>_xlfn.XLOOKUP(A2,ID!A:A,ID!B:B)</f>
        <v>Chapecoense</v>
      </c>
      <c r="C2" s="1" t="s">
        <v>8</v>
      </c>
      <c r="D2" s="4">
        <v>735.88888888888891</v>
      </c>
    </row>
    <row r="3" spans="1:4" x14ac:dyDescent="0.3">
      <c r="A3" s="1">
        <v>1</v>
      </c>
      <c r="B3" s="1" t="str">
        <f>_xlfn.XLOOKUP(A3,ID!A:A,ID!B:B)</f>
        <v>Chapecoense</v>
      </c>
      <c r="C3" s="1" t="s">
        <v>9</v>
      </c>
      <c r="D3" s="4">
        <v>1842.2222222222222</v>
      </c>
    </row>
    <row r="4" spans="1:4" x14ac:dyDescent="0.3">
      <c r="A4" s="1">
        <v>1</v>
      </c>
      <c r="B4" s="1" t="str">
        <f>_xlfn.XLOOKUP(A4,ID!A:A,ID!B:B)</f>
        <v>Chapecoense</v>
      </c>
      <c r="C4" s="1" t="s">
        <v>10</v>
      </c>
      <c r="D4" s="4">
        <v>119.22222222222223</v>
      </c>
    </row>
    <row r="5" spans="1:4" x14ac:dyDescent="0.3">
      <c r="A5" s="1">
        <v>1</v>
      </c>
      <c r="B5" s="1" t="str">
        <f>_xlfn.XLOOKUP(A5,ID!A:A,ID!B:B)</f>
        <v>Chapecoense</v>
      </c>
      <c r="C5" s="1" t="s">
        <v>11</v>
      </c>
      <c r="D5" s="4">
        <v>295.33333333333331</v>
      </c>
    </row>
    <row r="6" spans="1:4" x14ac:dyDescent="0.3">
      <c r="A6" s="1">
        <v>2</v>
      </c>
      <c r="B6" s="1" t="str">
        <f>_xlfn.XLOOKUP(A6,ID!A:A,ID!B:B)</f>
        <v>Santos</v>
      </c>
      <c r="C6" s="1" t="s">
        <v>8</v>
      </c>
      <c r="D6" s="4">
        <v>1129.1428571428571</v>
      </c>
    </row>
    <row r="7" spans="1:4" x14ac:dyDescent="0.3">
      <c r="A7" s="1">
        <v>2</v>
      </c>
      <c r="B7" s="1" t="str">
        <f>_xlfn.XLOOKUP(A7,ID!A:A,ID!B:B)</f>
        <v>Santos</v>
      </c>
      <c r="C7" s="1" t="s">
        <v>9</v>
      </c>
      <c r="D7" s="4">
        <v>3143.5714285714284</v>
      </c>
    </row>
    <row r="8" spans="1:4" x14ac:dyDescent="0.3">
      <c r="A8" s="1">
        <v>2</v>
      </c>
      <c r="B8" s="1" t="str">
        <f>_xlfn.XLOOKUP(A8,ID!A:A,ID!B:B)</f>
        <v>Santos</v>
      </c>
      <c r="C8" s="1" t="s">
        <v>10</v>
      </c>
      <c r="D8" s="4">
        <v>913.71428571428567</v>
      </c>
    </row>
    <row r="9" spans="1:4" x14ac:dyDescent="0.3">
      <c r="A9" s="1">
        <v>2</v>
      </c>
      <c r="B9" s="1" t="str">
        <f>_xlfn.XLOOKUP(A9,ID!A:A,ID!B:B)</f>
        <v>Santos</v>
      </c>
      <c r="C9" s="1" t="s">
        <v>11</v>
      </c>
      <c r="D9" s="4">
        <v>918.71428571428567</v>
      </c>
    </row>
    <row r="10" spans="1:4" x14ac:dyDescent="0.3">
      <c r="A10" s="1">
        <v>3</v>
      </c>
      <c r="B10" s="1" t="str">
        <f>_xlfn.XLOOKUP(A10,ID!A:A,ID!B:B)</f>
        <v>Vasco</v>
      </c>
      <c r="C10" s="1" t="s">
        <v>8</v>
      </c>
      <c r="D10" s="4">
        <v>849.66666669999995</v>
      </c>
    </row>
    <row r="11" spans="1:4" x14ac:dyDescent="0.3">
      <c r="A11" s="1">
        <v>3</v>
      </c>
      <c r="B11" s="1" t="str">
        <f>_xlfn.XLOOKUP(A11,ID!A:A,ID!B:B)</f>
        <v>Vasco</v>
      </c>
      <c r="C11" s="1" t="s">
        <v>9</v>
      </c>
      <c r="D11" s="1">
        <v>2039</v>
      </c>
    </row>
    <row r="12" spans="1:4" x14ac:dyDescent="0.3">
      <c r="A12" s="1">
        <v>3</v>
      </c>
      <c r="B12" s="1" t="str">
        <f>_xlfn.XLOOKUP(A12,ID!A:A,ID!B:B)</f>
        <v>Vasco</v>
      </c>
      <c r="C12" s="1" t="s">
        <v>10</v>
      </c>
      <c r="D12" s="1">
        <v>783</v>
      </c>
    </row>
    <row r="13" spans="1:4" x14ac:dyDescent="0.3">
      <c r="A13" s="1">
        <v>3</v>
      </c>
      <c r="B13" s="1" t="str">
        <f>_xlfn.XLOOKUP(A13,ID!A:A,ID!B:B)</f>
        <v>Vasco</v>
      </c>
      <c r="C13" s="1" t="s">
        <v>11</v>
      </c>
      <c r="D13" s="1">
        <v>520</v>
      </c>
    </row>
    <row r="14" spans="1:4" x14ac:dyDescent="0.3">
      <c r="A14" s="1">
        <v>4</v>
      </c>
      <c r="B14" s="1" t="str">
        <f>_xlfn.XLOOKUP(A14,ID!A:A,ID!B:B)</f>
        <v>Fluminense</v>
      </c>
      <c r="C14" s="1" t="s">
        <v>8</v>
      </c>
      <c r="D14" s="4">
        <v>849.66666669999995</v>
      </c>
    </row>
    <row r="15" spans="1:4" x14ac:dyDescent="0.3">
      <c r="A15" s="1">
        <v>4</v>
      </c>
      <c r="B15" s="1" t="str">
        <f>_xlfn.XLOOKUP(A15,ID!A:A,ID!B:B)</f>
        <v>Fluminense</v>
      </c>
      <c r="C15" s="1" t="s">
        <v>9</v>
      </c>
      <c r="D15" s="4">
        <v>2039</v>
      </c>
    </row>
    <row r="16" spans="1:4" x14ac:dyDescent="0.3">
      <c r="A16" s="1">
        <v>4</v>
      </c>
      <c r="B16" s="1" t="str">
        <f>_xlfn.XLOOKUP(A16,ID!A:A,ID!B:B)</f>
        <v>Fluminense</v>
      </c>
      <c r="C16" s="1" t="s">
        <v>10</v>
      </c>
      <c r="D16" s="4">
        <v>783</v>
      </c>
    </row>
    <row r="17" spans="1:14" x14ac:dyDescent="0.3">
      <c r="A17" s="1">
        <v>4</v>
      </c>
      <c r="B17" s="1" t="str">
        <f>_xlfn.XLOOKUP(A17,ID!A:A,ID!B:B)</f>
        <v>Fluminense</v>
      </c>
      <c r="C17" s="1" t="s">
        <v>11</v>
      </c>
      <c r="D17" s="4">
        <v>520</v>
      </c>
    </row>
    <row r="18" spans="1:14" x14ac:dyDescent="0.3">
      <c r="I18" s="3"/>
      <c r="J18" s="1"/>
      <c r="K18" s="1"/>
      <c r="L18" s="1"/>
    </row>
    <row r="19" spans="1:14" x14ac:dyDescent="0.3">
      <c r="I19" s="3"/>
      <c r="J19" s="1"/>
      <c r="K19" s="1"/>
      <c r="L19" s="1"/>
    </row>
    <row r="20" spans="1:14" x14ac:dyDescent="0.3">
      <c r="I20" s="3"/>
      <c r="J20" s="1"/>
      <c r="K20" s="1"/>
      <c r="L20" s="1"/>
    </row>
    <row r="21" spans="1:14" x14ac:dyDescent="0.3">
      <c r="I21" s="3"/>
      <c r="J21" s="1"/>
      <c r="K21" s="1"/>
      <c r="L21" s="1"/>
    </row>
    <row r="22" spans="1:14" x14ac:dyDescent="0.3">
      <c r="I22" s="3"/>
      <c r="J22" s="1"/>
      <c r="K22" s="1"/>
      <c r="L22" s="1"/>
    </row>
    <row r="23" spans="1:14" x14ac:dyDescent="0.3">
      <c r="I23" s="3"/>
      <c r="J23" s="1"/>
      <c r="K23" s="1"/>
      <c r="L23" s="1"/>
    </row>
    <row r="24" spans="1:14" x14ac:dyDescent="0.3">
      <c r="I24" s="3"/>
      <c r="J24" s="1"/>
      <c r="K24" s="1"/>
      <c r="L24" s="1"/>
    </row>
    <row r="25" spans="1:14" x14ac:dyDescent="0.3">
      <c r="I25" s="3"/>
      <c r="J25" s="1"/>
      <c r="K25" s="1"/>
      <c r="L25" s="1"/>
    </row>
    <row r="26" spans="1:14" x14ac:dyDescent="0.3">
      <c r="I26" s="3"/>
      <c r="J26" s="1"/>
      <c r="K26" s="1"/>
      <c r="L26" s="1"/>
    </row>
    <row r="27" spans="1:14" x14ac:dyDescent="0.3">
      <c r="I27" s="3"/>
      <c r="J27" s="4"/>
      <c r="K27" s="4"/>
      <c r="L27" s="4"/>
    </row>
    <row r="28" spans="1:14" x14ac:dyDescent="0.3">
      <c r="I28" s="1"/>
      <c r="J28" s="1"/>
      <c r="K28" s="4"/>
      <c r="L28" s="4"/>
    </row>
    <row r="29" spans="1:14" x14ac:dyDescent="0.3">
      <c r="I29" s="1"/>
      <c r="J29" s="1"/>
      <c r="K29" s="1"/>
      <c r="L29" s="1"/>
    </row>
    <row r="30" spans="1:14" x14ac:dyDescent="0.3">
      <c r="J30" s="4"/>
      <c r="K30" s="4"/>
      <c r="L30" s="4"/>
      <c r="M30" s="4"/>
      <c r="N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E2C0-141E-4F33-9873-B5750E2050A4}">
  <dimension ref="A1:B5"/>
  <sheetViews>
    <sheetView workbookViewId="0">
      <selection activeCell="B6" sqref="B6"/>
    </sheetView>
  </sheetViews>
  <sheetFormatPr defaultRowHeight="14.4" x14ac:dyDescent="0.3"/>
  <cols>
    <col min="1" max="1" width="10.6640625" customWidth="1"/>
    <col min="2" max="2" width="1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t="s">
        <v>3</v>
      </c>
    </row>
    <row r="3" spans="1:2" x14ac:dyDescent="0.3">
      <c r="A3" s="1">
        <v>2</v>
      </c>
      <c r="B3" t="s">
        <v>4</v>
      </c>
    </row>
    <row r="4" spans="1:2" x14ac:dyDescent="0.3">
      <c r="A4" s="1">
        <v>3</v>
      </c>
      <c r="B4" t="s">
        <v>5</v>
      </c>
    </row>
    <row r="5" spans="1:2" x14ac:dyDescent="0.3">
      <c r="A5" s="1">
        <v>4</v>
      </c>
      <c r="B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5868-4E56-4208-841F-4C7327847AB7}">
  <dimension ref="A1:L37"/>
  <sheetViews>
    <sheetView tabSelected="1" workbookViewId="0">
      <selection activeCell="B29" sqref="B29:B37"/>
    </sheetView>
  </sheetViews>
  <sheetFormatPr defaultRowHeight="14.4" x14ac:dyDescent="0.3"/>
  <cols>
    <col min="2" max="2" width="27" customWidth="1"/>
    <col min="3" max="3" width="12" customWidth="1"/>
    <col min="12" max="12" width="30.44140625" bestFit="1" customWidth="1"/>
    <col min="13" max="13" width="16.77734375" bestFit="1" customWidth="1"/>
    <col min="14" max="14" width="11.21875" bestFit="1" customWidth="1"/>
    <col min="15" max="15" width="26.5546875" bestFit="1" customWidth="1"/>
    <col min="16" max="16" width="11.21875" bestFit="1" customWidth="1"/>
    <col min="17" max="17" width="19" bestFit="1" customWidth="1"/>
    <col min="18" max="18" width="13.5546875" bestFit="1" customWidth="1"/>
    <col min="19" max="19" width="24.44140625" bestFit="1" customWidth="1"/>
    <col min="20" max="20" width="12.44140625" bestFit="1" customWidth="1"/>
    <col min="21" max="21" width="9.21875" bestFit="1" customWidth="1"/>
    <col min="22" max="22" width="13.5546875" bestFit="1" customWidth="1"/>
    <col min="23" max="24" width="14.5546875" bestFit="1" customWidth="1"/>
    <col min="25" max="25" width="24.6640625" bestFit="1" customWidth="1"/>
    <col min="26" max="26" width="15.5546875" bestFit="1" customWidth="1"/>
    <col min="27" max="27" width="14.5546875" bestFit="1" customWidth="1"/>
    <col min="28" max="29" width="12.44140625" bestFit="1" customWidth="1"/>
    <col min="30" max="31" width="13.5546875" bestFit="1" customWidth="1"/>
    <col min="32" max="32" width="12.44140625" bestFit="1" customWidth="1"/>
    <col min="33" max="34" width="14.5546875" bestFit="1" customWidth="1"/>
    <col min="35" max="35" width="12.44140625" bestFit="1" customWidth="1"/>
    <col min="36" max="36" width="13.5546875" bestFit="1" customWidth="1"/>
    <col min="37" max="37" width="15.5546875" bestFit="1" customWidth="1"/>
  </cols>
  <sheetData>
    <row r="1" spans="1:3" x14ac:dyDescent="0.3">
      <c r="A1" t="s">
        <v>0</v>
      </c>
      <c r="B1" t="s">
        <v>20</v>
      </c>
      <c r="C1" t="s">
        <v>2</v>
      </c>
    </row>
    <row r="2" spans="1:3" x14ac:dyDescent="0.3">
      <c r="A2" s="1">
        <v>2</v>
      </c>
      <c r="B2" t="s">
        <v>12</v>
      </c>
      <c r="C2" s="4">
        <v>7.333333333333333</v>
      </c>
    </row>
    <row r="3" spans="1:3" x14ac:dyDescent="0.3">
      <c r="A3" s="1">
        <v>2</v>
      </c>
      <c r="B3" t="s">
        <v>13</v>
      </c>
      <c r="C3" s="4">
        <v>65</v>
      </c>
    </row>
    <row r="4" spans="1:3" x14ac:dyDescent="0.3">
      <c r="A4" s="1">
        <v>2</v>
      </c>
      <c r="B4" t="s">
        <v>14</v>
      </c>
      <c r="C4" s="4">
        <v>475.28571428571399</v>
      </c>
    </row>
    <row r="5" spans="1:3" x14ac:dyDescent="0.3">
      <c r="A5" s="1">
        <v>2</v>
      </c>
      <c r="B5" t="s">
        <v>15</v>
      </c>
      <c r="C5" s="4">
        <v>214.42857142857142</v>
      </c>
    </row>
    <row r="6" spans="1:3" x14ac:dyDescent="0.3">
      <c r="A6" s="1">
        <v>2</v>
      </c>
      <c r="B6" t="s">
        <v>16</v>
      </c>
      <c r="C6" s="4">
        <v>1434.1428571428601</v>
      </c>
    </row>
    <row r="7" spans="1:3" x14ac:dyDescent="0.3">
      <c r="A7" s="1">
        <v>2</v>
      </c>
      <c r="B7" t="s">
        <v>17</v>
      </c>
      <c r="C7" s="4">
        <v>29</v>
      </c>
    </row>
    <row r="8" spans="1:3" x14ac:dyDescent="0.3">
      <c r="A8" s="1">
        <v>2</v>
      </c>
      <c r="B8" t="s">
        <v>18</v>
      </c>
      <c r="C8" s="4">
        <v>844.142857142857</v>
      </c>
    </row>
    <row r="9" spans="1:3" x14ac:dyDescent="0.3">
      <c r="A9" s="1">
        <v>2</v>
      </c>
      <c r="B9" t="s">
        <v>19</v>
      </c>
      <c r="C9" s="4">
        <v>26.428571428571427</v>
      </c>
    </row>
    <row r="10" spans="1:3" x14ac:dyDescent="0.3">
      <c r="A10" s="1">
        <v>2</v>
      </c>
      <c r="B10" t="s">
        <v>21</v>
      </c>
      <c r="C10" s="4">
        <v>48</v>
      </c>
    </row>
    <row r="11" spans="1:3" x14ac:dyDescent="0.3">
      <c r="A11" s="1">
        <v>1</v>
      </c>
      <c r="B11" s="3" t="s">
        <v>12</v>
      </c>
      <c r="C11" s="1">
        <v>9</v>
      </c>
    </row>
    <row r="12" spans="1:3" x14ac:dyDescent="0.3">
      <c r="A12" s="1">
        <v>1</v>
      </c>
      <c r="B12" s="3" t="s">
        <v>13</v>
      </c>
      <c r="C12" s="1">
        <v>65</v>
      </c>
    </row>
    <row r="13" spans="1:3" x14ac:dyDescent="0.3">
      <c r="A13" s="1">
        <v>1</v>
      </c>
      <c r="B13" s="3" t="s">
        <v>14</v>
      </c>
      <c r="C13" s="1">
        <v>406</v>
      </c>
    </row>
    <row r="14" spans="1:3" x14ac:dyDescent="0.3">
      <c r="A14" s="1">
        <v>1</v>
      </c>
      <c r="B14" s="3" t="s">
        <v>15</v>
      </c>
      <c r="C14" s="1">
        <v>135</v>
      </c>
    </row>
    <row r="15" spans="1:3" x14ac:dyDescent="0.3">
      <c r="A15" s="1">
        <v>1</v>
      </c>
      <c r="B15" s="3" t="s">
        <v>16</v>
      </c>
      <c r="C15" s="1">
        <v>768</v>
      </c>
    </row>
    <row r="16" spans="1:3" x14ac:dyDescent="0.3">
      <c r="A16" s="1">
        <v>1</v>
      </c>
      <c r="B16" s="3" t="s">
        <v>17</v>
      </c>
      <c r="C16" s="1">
        <v>12</v>
      </c>
    </row>
    <row r="17" spans="1:12" x14ac:dyDescent="0.3">
      <c r="A17" s="1">
        <v>1</v>
      </c>
      <c r="B17" s="3" t="s">
        <v>18</v>
      </c>
      <c r="C17" s="1">
        <v>366</v>
      </c>
    </row>
    <row r="18" spans="1:12" x14ac:dyDescent="0.3">
      <c r="A18" s="1">
        <v>1</v>
      </c>
      <c r="B18" s="3" t="s">
        <v>19</v>
      </c>
      <c r="C18" s="1">
        <v>16</v>
      </c>
    </row>
    <row r="19" spans="1:12" x14ac:dyDescent="0.3">
      <c r="A19" s="1">
        <v>1</v>
      </c>
      <c r="B19" s="3" t="s">
        <v>21</v>
      </c>
      <c r="C19" s="1">
        <v>65</v>
      </c>
    </row>
    <row r="20" spans="1:12" x14ac:dyDescent="0.3">
      <c r="A20" s="1">
        <v>3</v>
      </c>
      <c r="B20" s="3" t="s">
        <v>12</v>
      </c>
      <c r="C20" s="1">
        <v>10</v>
      </c>
    </row>
    <row r="21" spans="1:12" x14ac:dyDescent="0.3">
      <c r="A21" s="1">
        <v>3</v>
      </c>
      <c r="B21" s="3" t="s">
        <v>13</v>
      </c>
      <c r="C21" s="1">
        <v>65</v>
      </c>
      <c r="G21" s="5"/>
    </row>
    <row r="22" spans="1:12" x14ac:dyDescent="0.3">
      <c r="A22" s="1">
        <v>3</v>
      </c>
      <c r="B22" s="3" t="s">
        <v>14</v>
      </c>
      <c r="C22" s="1">
        <v>379</v>
      </c>
    </row>
    <row r="23" spans="1:12" x14ac:dyDescent="0.3">
      <c r="A23" s="1">
        <v>3</v>
      </c>
      <c r="B23" s="3" t="s">
        <v>15</v>
      </c>
      <c r="C23" s="1">
        <v>200</v>
      </c>
    </row>
    <row r="24" spans="1:12" x14ac:dyDescent="0.3">
      <c r="A24" s="1">
        <v>3</v>
      </c>
      <c r="B24" s="3" t="s">
        <v>16</v>
      </c>
      <c r="C24" s="1">
        <v>837</v>
      </c>
    </row>
    <row r="25" spans="1:12" x14ac:dyDescent="0.3">
      <c r="A25" s="1">
        <v>3</v>
      </c>
      <c r="B25" s="3" t="s">
        <v>17</v>
      </c>
      <c r="C25" s="1">
        <v>16</v>
      </c>
    </row>
    <row r="26" spans="1:12" x14ac:dyDescent="0.3">
      <c r="A26" s="1">
        <v>3</v>
      </c>
      <c r="B26" s="3" t="s">
        <v>18</v>
      </c>
      <c r="C26" s="1">
        <v>457</v>
      </c>
    </row>
    <row r="27" spans="1:12" x14ac:dyDescent="0.3">
      <c r="A27" s="1">
        <v>3</v>
      </c>
      <c r="B27" s="3" t="s">
        <v>19</v>
      </c>
      <c r="C27" s="1">
        <v>20</v>
      </c>
    </row>
    <row r="28" spans="1:12" x14ac:dyDescent="0.3">
      <c r="A28" s="1">
        <v>3</v>
      </c>
      <c r="B28" t="s">
        <v>21</v>
      </c>
      <c r="C28" s="1">
        <v>55</v>
      </c>
    </row>
    <row r="29" spans="1:12" x14ac:dyDescent="0.3">
      <c r="A29" s="1">
        <v>4</v>
      </c>
      <c r="B29" s="2" t="s">
        <v>12</v>
      </c>
      <c r="C29" s="1">
        <v>10</v>
      </c>
    </row>
    <row r="30" spans="1:12" x14ac:dyDescent="0.3">
      <c r="A30" s="1">
        <v>4</v>
      </c>
      <c r="B30" s="2" t="s">
        <v>13</v>
      </c>
      <c r="C30" s="1">
        <v>65</v>
      </c>
      <c r="L30" s="1"/>
    </row>
    <row r="31" spans="1:12" x14ac:dyDescent="0.3">
      <c r="A31" s="1">
        <v>4</v>
      </c>
      <c r="B31" s="2" t="s">
        <v>14</v>
      </c>
      <c r="C31" s="1">
        <v>379</v>
      </c>
    </row>
    <row r="32" spans="1:12" x14ac:dyDescent="0.3">
      <c r="A32" s="1">
        <v>4</v>
      </c>
      <c r="B32" s="2" t="s">
        <v>15</v>
      </c>
      <c r="C32" s="1">
        <v>200</v>
      </c>
    </row>
    <row r="33" spans="1:3" x14ac:dyDescent="0.3">
      <c r="A33" s="1">
        <v>4</v>
      </c>
      <c r="B33" s="2" t="s">
        <v>16</v>
      </c>
      <c r="C33" s="1">
        <v>837</v>
      </c>
    </row>
    <row r="34" spans="1:3" x14ac:dyDescent="0.3">
      <c r="A34" s="1">
        <v>4</v>
      </c>
      <c r="B34" s="2" t="s">
        <v>17</v>
      </c>
      <c r="C34" s="1">
        <v>16</v>
      </c>
    </row>
    <row r="35" spans="1:3" x14ac:dyDescent="0.3">
      <c r="A35" s="1">
        <v>4</v>
      </c>
      <c r="B35" s="2" t="s">
        <v>18</v>
      </c>
      <c r="C35" s="1">
        <v>457</v>
      </c>
    </row>
    <row r="36" spans="1:3" x14ac:dyDescent="0.3">
      <c r="A36" s="1">
        <v>4</v>
      </c>
      <c r="B36" s="2" t="s">
        <v>19</v>
      </c>
      <c r="C36" s="1">
        <v>20</v>
      </c>
    </row>
    <row r="37" spans="1:3" x14ac:dyDescent="0.3">
      <c r="A37" s="1">
        <v>4</v>
      </c>
      <c r="B37" s="2" t="s">
        <v>21</v>
      </c>
      <c r="C37" s="1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Projeção</vt:lpstr>
      <vt:lpstr>ID</vt:lpstr>
      <vt:lpstr>Sócios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Faria</dc:creator>
  <cp:lastModifiedBy>Luiz Faria</cp:lastModifiedBy>
  <dcterms:created xsi:type="dcterms:W3CDTF">2015-06-05T18:19:34Z</dcterms:created>
  <dcterms:modified xsi:type="dcterms:W3CDTF">2026-10-14T12:29:56Z</dcterms:modified>
</cp:coreProperties>
</file>